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venue Forecast" sheetId="2" state="visible" r:id="rId2"/>
    <sheet xmlns:r="http://schemas.openxmlformats.org/officeDocument/2006/relationships" name="Cost Structure" sheetId="3" state="visible" r:id="rId3"/>
    <sheet xmlns:r="http://schemas.openxmlformats.org/officeDocument/2006/relationships" name="P&amp;L Projections" sheetId="4" state="visible" r:id="rId4"/>
    <sheet xmlns:r="http://schemas.openxmlformats.org/officeDocument/2006/relationships" name="Unit Economics" sheetId="5" state="visible" r:id="rId5"/>
    <sheet xmlns:r="http://schemas.openxmlformats.org/officeDocument/2006/relationships" name="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2937"/>
      <sz val="14"/>
    </font>
    <font>
      <name val="Calibri"/>
      <i val="1"/>
      <color rgb="006B7280"/>
      <sz val="9"/>
    </font>
    <font>
      <name val="Calibri"/>
      <b val="1"/>
      <color rgb="00374151"/>
      <sz val="11"/>
    </font>
    <font>
      <name val="Calibri"/>
      <b val="1"/>
      <sz val="10"/>
    </font>
    <font>
      <name val="Calibri"/>
      <b val="1"/>
      <color rgb="00059669"/>
      <sz val="10"/>
    </font>
    <font>
      <name val="Calibri"/>
      <b val="1"/>
      <color rgb="00DC2626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DC2626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2" borderId="1" pivotButton="0" quotePrefix="0" xfId="0"/>
    <xf numFmtId="3" fontId="0" fillId="0" borderId="1" pivotButton="0" quotePrefix="0" xfId="0"/>
    <xf numFmtId="0" fontId="1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8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7" fillId="2" borderId="0" pivotButton="0" quotePrefix="0" xfId="0"/>
    <xf numFmtId="0" fontId="0" fillId="0" borderId="1" pivotButton="0" quotePrefix="0" xfId="0"/>
    <xf numFmtId="3" fontId="9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EBITDA vs GMV (RM)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'Dashboard'!$A$16:$A$18</f>
            </numRef>
          </cat>
          <val>
            <numRef>
              <f>'Dashboard'!$B$16:$B$18</f>
            </numRef>
          </val>
        </ser>
        <ser>
          <idx val="1"/>
          <order val="1"/>
          <tx>
            <strRef>
              <f>'Dashboard'!C15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'Dashboard'!$A$16:$A$18</f>
            </numRef>
          </cat>
          <val>
            <numRef>
              <f>'Dashboard'!$C$16:$C$18</f>
            </numRef>
          </val>
        </ser>
        <ser>
          <idx val="2"/>
          <order val="2"/>
          <tx>
            <strRef>
              <f>'Dashboard'!D15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'Dashboard'!$A$16:$A$18</f>
            </numRef>
          </cat>
          <val>
            <numRef>
              <f>'Dashboard'!$D$16:$D$18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Mix — Year 1</a:t>
            </a:r>
          </a:p>
        </rich>
      </tx>
    </title>
    <plotArea>
      <pieChart>
        <varyColors val="1"/>
        <ser>
          <idx val="0"/>
          <order val="0"/>
          <tx>
            <strRef>
              <f>'Cost Structure'!B28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 Structure'!$A$29:$A$30</f>
            </numRef>
          </cat>
          <val>
            <numRef>
              <f>'Cost Structure'!$B$29:$B$30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Leish.my — Financial Forecast Dashboard</t>
        </is>
      </c>
    </row>
    <row r="2">
      <c r="A2" s="2" t="inlineStr">
        <is>
          <t>Period: FY 2026–2029 | Currency: RM | Prepared: August 2026</t>
        </is>
      </c>
    </row>
    <row r="3"/>
    <row r="4">
      <c r="A4" s="3" t="inlineStr">
        <is>
          <t>Key Financial Metrics</t>
        </is>
      </c>
    </row>
    <row r="5">
      <c r="A5" s="4" t="inlineStr">
        <is>
          <t>Year 1 Revenue</t>
        </is>
      </c>
      <c r="B5" s="5" t="inlineStr">
        <is>
          <t>RM 762,336</t>
        </is>
      </c>
      <c r="C5" s="4" t="inlineStr">
        <is>
          <t>Year 2 Revenue</t>
        </is>
      </c>
      <c r="D5" s="5" t="inlineStr">
        <is>
          <t>RM 4,323,200</t>
        </is>
      </c>
    </row>
    <row r="6">
      <c r="A6" s="4" t="inlineStr">
        <is>
          <t>Year 3 Revenue</t>
        </is>
      </c>
      <c r="B6" s="5" t="inlineStr">
        <is>
          <t>RM 16,684,000</t>
        </is>
      </c>
      <c r="C6" s="4" t="inlineStr">
        <is>
          <t>Revenue Growth (YoY Y2)</t>
        </is>
      </c>
      <c r="D6" s="5" t="inlineStr">
        <is>
          <t>467%</t>
        </is>
      </c>
    </row>
    <row r="7">
      <c r="A7" s="4" t="inlineStr">
        <is>
          <t>Year 1 EBITDA</t>
        </is>
      </c>
      <c r="B7" s="6" t="inlineStr">
        <is>
          <t>(RM 414,117)</t>
        </is>
      </c>
      <c r="C7" s="4" t="inlineStr">
        <is>
          <t>Year 2 EBITDA</t>
        </is>
      </c>
      <c r="D7" s="5" t="inlineStr">
        <is>
          <t>RM 2,297,200</t>
        </is>
      </c>
    </row>
    <row r="8">
      <c r="A8" s="4" t="inlineStr">
        <is>
          <t>Year 3 EBITDA</t>
        </is>
      </c>
      <c r="B8" s="5" t="inlineStr">
        <is>
          <t>RM 13,205,000</t>
        </is>
      </c>
      <c r="C8" s="4" t="inlineStr">
        <is>
          <t>EBITDA Margin Y3</t>
        </is>
      </c>
      <c r="D8" s="5" t="inlineStr">
        <is>
          <t>79%</t>
        </is>
      </c>
    </row>
    <row r="9">
      <c r="A9" s="4" t="inlineStr">
        <is>
          <t>Break-even Month</t>
        </is>
      </c>
      <c r="B9" s="5" t="inlineStr">
        <is>
          <t>Month 18</t>
        </is>
      </c>
      <c r="C9" s="4" t="inlineStr">
        <is>
          <t>Seed Runway</t>
        </is>
      </c>
      <c r="D9" s="5" t="inlineStr">
        <is>
          <t>~18 months</t>
        </is>
      </c>
    </row>
    <row r="10">
      <c r="A10" s="4" t="inlineStr">
        <is>
          <t>Seed Funding</t>
        </is>
      </c>
      <c r="B10" s="5" t="inlineStr">
        <is>
          <t>RM 1,200,000</t>
        </is>
      </c>
      <c r="C10" s="4" t="inlineStr">
        <is>
          <t>LTV:CAC (Year 3)</t>
        </is>
      </c>
      <c r="D10" s="5" t="inlineStr">
        <is>
          <t>30.9x</t>
        </is>
      </c>
    </row>
    <row r="11">
      <c r="A11" s="4" t="inlineStr">
        <is>
          <t>Total Bookings Y3</t>
        </is>
      </c>
      <c r="B11" s="5" t="inlineStr">
        <is>
          <t>260,000</t>
        </is>
      </c>
      <c r="C11" s="4" t="inlineStr">
        <is>
          <t>Cumulative Users Y3</t>
        </is>
      </c>
      <c r="D11" s="5" t="inlineStr">
        <is>
          <t>18,000</t>
        </is>
      </c>
    </row>
    <row r="12">
      <c r="A12" s="4" t="inlineStr">
        <is>
          <t>GMV Y3</t>
        </is>
      </c>
      <c r="B12" s="5" t="inlineStr">
        <is>
          <t>RM 86,850,000</t>
        </is>
      </c>
      <c r="C12" s="4" t="inlineStr">
        <is>
          <t>Net Margin Y3</t>
        </is>
      </c>
      <c r="D12" s="5" t="inlineStr">
        <is>
          <t>66%</t>
        </is>
      </c>
    </row>
    <row r="13"/>
    <row r="14"/>
    <row r="15">
      <c r="A15" s="7" t="inlineStr">
        <is>
          <t>Year</t>
        </is>
      </c>
      <c r="B15" s="7" t="inlineStr">
        <is>
          <t>Revenue (RM)</t>
        </is>
      </c>
      <c r="C15" s="7" t="inlineStr">
        <is>
          <t>EBITDA (RM)</t>
        </is>
      </c>
      <c r="D15" s="7" t="inlineStr">
        <is>
          <t>GMV (RM)</t>
        </is>
      </c>
    </row>
    <row r="16">
      <c r="A16" s="8" t="inlineStr">
        <is>
          <t>FY2026</t>
        </is>
      </c>
      <c r="B16" s="8" t="n">
        <v>762336</v>
      </c>
      <c r="C16" s="8" t="n">
        <v>-414117</v>
      </c>
      <c r="D16" s="8" t="n">
        <v>2178120</v>
      </c>
    </row>
    <row r="17">
      <c r="A17" s="8" t="inlineStr">
        <is>
          <t>FY2027</t>
        </is>
      </c>
      <c r="B17" s="8" t="n">
        <v>4323200</v>
      </c>
      <c r="C17" s="8" t="n">
        <v>2297200</v>
      </c>
      <c r="D17" s="8" t="n">
        <v>22880000</v>
      </c>
    </row>
    <row r="18">
      <c r="A18" s="8" t="inlineStr">
        <is>
          <t>FY2028</t>
        </is>
      </c>
      <c r="B18" s="8" t="n">
        <v>16684000</v>
      </c>
      <c r="C18" s="8" t="n">
        <v>13205000</v>
      </c>
      <c r="D18" s="8" t="n">
        <v>86850000</v>
      </c>
    </row>
  </sheetData>
  <mergeCells count="3">
    <mergeCell ref="A4:H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0" customWidth="1" min="4" max="4"/>
    <col width="21" customWidth="1" min="5" max="5"/>
    <col width="17" customWidth="1" min="6" max="6"/>
    <col width="18" customWidth="1" min="7" max="7"/>
    <col width="20" customWidth="1" min="8" max="8"/>
    <col width="23" customWidth="1" min="9" max="9"/>
    <col width="20" customWidth="1" min="10" max="10"/>
    <col width="10" customWidth="1" min="11" max="11"/>
    <col width="20" customWidth="1" min="12" max="12"/>
  </cols>
  <sheetData>
    <row r="1">
      <c r="A1" s="9" t="inlineStr">
        <is>
          <t>Monthly Revenue Forecast — FY 2026–2028</t>
        </is>
      </c>
    </row>
    <row r="2">
      <c r="A2" s="10" t="inlineStr">
        <is>
          <t>Month</t>
        </is>
      </c>
      <c r="B2" s="10" t="inlineStr">
        <is>
          <t>New Users</t>
        </is>
      </c>
      <c r="C2" s="10" t="inlineStr">
        <is>
          <t>Active Users</t>
        </is>
      </c>
      <c r="D2" s="10" t="inlineStr">
        <is>
          <t>Bookings</t>
        </is>
      </c>
      <c r="E2" s="10" t="inlineStr">
        <is>
          <t>Avg Value (RM)</t>
        </is>
      </c>
      <c r="F2" s="10" t="inlineStr">
        <is>
          <t>GMV (RM)</t>
        </is>
      </c>
      <c r="G2" s="10" t="inlineStr">
        <is>
          <t>Commission (RM)</t>
        </is>
      </c>
      <c r="H2" s="10" t="inlineStr">
        <is>
          <t>Studio Rental (RM)</t>
        </is>
      </c>
      <c r="I2" s="10" t="inlineStr">
        <is>
          <t>Premium Listings (RM)</t>
        </is>
      </c>
      <c r="J2" s="10" t="inlineStr">
        <is>
          <t>Loyalty (RM)</t>
        </is>
      </c>
      <c r="K2" s="10" t="inlineStr">
        <is>
          <t>B2B (RM)</t>
        </is>
      </c>
      <c r="L2" s="10" t="inlineStr">
        <is>
          <t>Total Revenue (RM)</t>
        </is>
      </c>
    </row>
    <row r="3">
      <c r="A3" s="11" t="inlineStr">
        <is>
          <t>Jan 2026</t>
        </is>
      </c>
      <c r="B3" s="12" t="n">
        <v>50</v>
      </c>
      <c r="C3" s="12" t="n">
        <v>18</v>
      </c>
      <c r="D3" s="12" t="n">
        <v>54</v>
      </c>
      <c r="E3" s="13" t="n">
        <v>280</v>
      </c>
      <c r="F3" s="13" t="n">
        <v>15120</v>
      </c>
      <c r="G3" s="13" t="n">
        <v>3024</v>
      </c>
      <c r="H3" s="13" t="n">
        <v>1512</v>
      </c>
      <c r="I3" s="13" t="n">
        <v>454</v>
      </c>
      <c r="J3" s="13" t="n">
        <v>0</v>
      </c>
      <c r="K3" s="13" t="n">
        <v>302</v>
      </c>
      <c r="L3" s="13" t="n">
        <v>5292</v>
      </c>
    </row>
    <row r="4">
      <c r="A4" s="11" t="inlineStr">
        <is>
          <t>Feb 2026</t>
        </is>
      </c>
      <c r="B4" s="12" t="n">
        <v>75</v>
      </c>
      <c r="C4" s="12" t="n">
        <v>38</v>
      </c>
      <c r="D4" s="12" t="n">
        <v>114</v>
      </c>
      <c r="E4" s="13" t="n">
        <v>280</v>
      </c>
      <c r="F4" s="13" t="n">
        <v>31920</v>
      </c>
      <c r="G4" s="13" t="n">
        <v>6384</v>
      </c>
      <c r="H4" s="13" t="n">
        <v>3192</v>
      </c>
      <c r="I4" s="13" t="n">
        <v>958</v>
      </c>
      <c r="J4" s="13" t="n">
        <v>0</v>
      </c>
      <c r="K4" s="13" t="n">
        <v>638</v>
      </c>
      <c r="L4" s="13" t="n">
        <v>11172</v>
      </c>
    </row>
    <row r="5">
      <c r="A5" s="11" t="inlineStr">
        <is>
          <t>Mar 2026</t>
        </is>
      </c>
      <c r="B5" s="12" t="n">
        <v>100</v>
      </c>
      <c r="C5" s="12" t="n">
        <v>65</v>
      </c>
      <c r="D5" s="12" t="n">
        <v>195</v>
      </c>
      <c r="E5" s="13" t="n">
        <v>280</v>
      </c>
      <c r="F5" s="13" t="n">
        <v>54600</v>
      </c>
      <c r="G5" s="13" t="n">
        <v>10920</v>
      </c>
      <c r="H5" s="13" t="n">
        <v>5460</v>
      </c>
      <c r="I5" s="13" t="n">
        <v>1638</v>
      </c>
      <c r="J5" s="13" t="n">
        <v>0</v>
      </c>
      <c r="K5" s="13" t="n">
        <v>1092</v>
      </c>
      <c r="L5" s="13" t="n">
        <v>19110</v>
      </c>
    </row>
    <row r="6">
      <c r="A6" s="11" t="inlineStr">
        <is>
          <t>Apr 2026</t>
        </is>
      </c>
      <c r="B6" s="12" t="n">
        <v>125</v>
      </c>
      <c r="C6" s="12" t="n">
        <v>95</v>
      </c>
      <c r="D6" s="12" t="n">
        <v>285</v>
      </c>
      <c r="E6" s="13" t="n">
        <v>285</v>
      </c>
      <c r="F6" s="13" t="n">
        <v>81225</v>
      </c>
      <c r="G6" s="13" t="n">
        <v>16245</v>
      </c>
      <c r="H6" s="13" t="n">
        <v>4061</v>
      </c>
      <c r="I6" s="13" t="n">
        <v>1218</v>
      </c>
      <c r="J6" s="13" t="n">
        <v>0</v>
      </c>
      <c r="K6" s="13" t="n">
        <v>812</v>
      </c>
      <c r="L6" s="13" t="n">
        <v>22336</v>
      </c>
    </row>
    <row r="7">
      <c r="A7" s="11" t="inlineStr">
        <is>
          <t>May 2026</t>
        </is>
      </c>
      <c r="B7" s="12" t="n">
        <v>150</v>
      </c>
      <c r="C7" s="12" t="n">
        <v>130</v>
      </c>
      <c r="D7" s="12" t="n">
        <v>390</v>
      </c>
      <c r="E7" s="13" t="n">
        <v>285</v>
      </c>
      <c r="F7" s="13" t="n">
        <v>111150</v>
      </c>
      <c r="G7" s="13" t="n">
        <v>22230</v>
      </c>
      <c r="H7" s="13" t="n">
        <v>5558</v>
      </c>
      <c r="I7" s="13" t="n">
        <v>1667</v>
      </c>
      <c r="J7" s="13" t="n">
        <v>0</v>
      </c>
      <c r="K7" s="13" t="n">
        <v>1112</v>
      </c>
      <c r="L7" s="13" t="n">
        <v>30567</v>
      </c>
    </row>
    <row r="8">
      <c r="A8" s="11" t="inlineStr">
        <is>
          <t>Jun 2026</t>
        </is>
      </c>
      <c r="B8" s="12" t="n">
        <v>175</v>
      </c>
      <c r="C8" s="12" t="n">
        <v>170</v>
      </c>
      <c r="D8" s="12" t="n">
        <v>510</v>
      </c>
      <c r="E8" s="13" t="n">
        <v>290</v>
      </c>
      <c r="F8" s="13" t="n">
        <v>147900</v>
      </c>
      <c r="G8" s="13" t="n">
        <v>29580</v>
      </c>
      <c r="H8" s="13" t="n">
        <v>3700</v>
      </c>
      <c r="I8" s="13" t="n">
        <v>2219</v>
      </c>
      <c r="J8" s="13" t="n">
        <v>0</v>
      </c>
      <c r="K8" s="13" t="n">
        <v>1479</v>
      </c>
      <c r="L8" s="13" t="n">
        <v>36978</v>
      </c>
    </row>
    <row r="9">
      <c r="A9" s="11" t="inlineStr">
        <is>
          <t>Jul 2026</t>
        </is>
      </c>
      <c r="B9" s="12" t="n">
        <v>200</v>
      </c>
      <c r="C9" s="12" t="n">
        <v>210</v>
      </c>
      <c r="D9" s="12" t="n">
        <v>630</v>
      </c>
      <c r="E9" s="13" t="n">
        <v>290</v>
      </c>
      <c r="F9" s="13" t="n">
        <v>182700</v>
      </c>
      <c r="G9" s="13" t="n">
        <v>36540</v>
      </c>
      <c r="H9" s="13" t="n">
        <v>4568</v>
      </c>
      <c r="I9" s="13" t="n">
        <v>2740</v>
      </c>
      <c r="J9" s="13" t="n">
        <v>0</v>
      </c>
      <c r="K9" s="13" t="n">
        <v>1827</v>
      </c>
      <c r="L9" s="13" t="n">
        <v>45675</v>
      </c>
    </row>
    <row r="10">
      <c r="A10" s="11" t="inlineStr">
        <is>
          <t>Aug 2026</t>
        </is>
      </c>
      <c r="B10" s="12" t="n">
        <v>225</v>
      </c>
      <c r="C10" s="12" t="n">
        <v>255</v>
      </c>
      <c r="D10" s="12" t="n">
        <v>765</v>
      </c>
      <c r="E10" s="13" t="n">
        <v>295</v>
      </c>
      <c r="F10" s="13" t="n">
        <v>225675</v>
      </c>
      <c r="G10" s="13" t="n">
        <v>45135</v>
      </c>
      <c r="H10" s="13" t="n">
        <v>5642</v>
      </c>
      <c r="I10" s="13" t="n">
        <v>3385</v>
      </c>
      <c r="J10" s="13" t="n">
        <v>0</v>
      </c>
      <c r="K10" s="13" t="n">
        <v>2257</v>
      </c>
      <c r="L10" s="13" t="n">
        <v>56419</v>
      </c>
    </row>
    <row r="11">
      <c r="A11" s="11" t="inlineStr">
        <is>
          <t>Sep 2026</t>
        </is>
      </c>
      <c r="B11" s="12" t="n">
        <v>250</v>
      </c>
      <c r="C11" s="12" t="n">
        <v>300</v>
      </c>
      <c r="D11" s="12" t="n">
        <v>900</v>
      </c>
      <c r="E11" s="13" t="n">
        <v>300</v>
      </c>
      <c r="F11" s="13" t="n">
        <v>270000</v>
      </c>
      <c r="G11" s="13" t="n">
        <v>54000</v>
      </c>
      <c r="H11" s="13" t="n">
        <v>6750</v>
      </c>
      <c r="I11" s="13" t="n">
        <v>4050</v>
      </c>
      <c r="J11" s="13" t="n">
        <v>0</v>
      </c>
      <c r="K11" s="13" t="n">
        <v>2700</v>
      </c>
      <c r="L11" s="13" t="n">
        <v>67500</v>
      </c>
    </row>
    <row r="12">
      <c r="A12" s="11" t="inlineStr">
        <is>
          <t>Oct 2026</t>
        </is>
      </c>
      <c r="B12" s="12" t="n">
        <v>275</v>
      </c>
      <c r="C12" s="12" t="n">
        <v>345</v>
      </c>
      <c r="D12" s="12" t="n">
        <v>1035</v>
      </c>
      <c r="E12" s="13" t="n">
        <v>300</v>
      </c>
      <c r="F12" s="13" t="n">
        <v>310500</v>
      </c>
      <c r="G12" s="13" t="n">
        <v>62100</v>
      </c>
      <c r="H12" s="13" t="n">
        <v>7763</v>
      </c>
      <c r="I12" s="13" t="n">
        <v>4672</v>
      </c>
      <c r="J12" s="13" t="n">
        <v>0</v>
      </c>
      <c r="K12" s="13" t="n">
        <v>3105</v>
      </c>
      <c r="L12" s="13" t="n">
        <v>77640</v>
      </c>
    </row>
    <row r="13">
      <c r="A13" s="11" t="inlineStr">
        <is>
          <t>Nov 2026</t>
        </is>
      </c>
      <c r="B13" s="12" t="n">
        <v>300</v>
      </c>
      <c r="C13" s="12" t="n">
        <v>390</v>
      </c>
      <c r="D13" s="12" t="n">
        <v>1170</v>
      </c>
      <c r="E13" s="13" t="n">
        <v>305</v>
      </c>
      <c r="F13" s="13" t="n">
        <v>356550</v>
      </c>
      <c r="G13" s="13" t="n">
        <v>71310</v>
      </c>
      <c r="H13" s="13" t="n">
        <v>8914</v>
      </c>
      <c r="I13" s="13" t="n">
        <v>5348</v>
      </c>
      <c r="J13" s="13" t="n">
        <v>0</v>
      </c>
      <c r="K13" s="13" t="n">
        <v>3566</v>
      </c>
      <c r="L13" s="13" t="n">
        <v>89138</v>
      </c>
    </row>
    <row r="14">
      <c r="A14" s="11" t="inlineStr">
        <is>
          <t>Dec 2026</t>
        </is>
      </c>
      <c r="B14" s="12" t="n">
        <v>325</v>
      </c>
      <c r="C14" s="12" t="n">
        <v>440</v>
      </c>
      <c r="D14" s="12" t="n">
        <v>1320</v>
      </c>
      <c r="E14" s="13" t="n">
        <v>310</v>
      </c>
      <c r="F14" s="13" t="n">
        <v>409200</v>
      </c>
      <c r="G14" s="13" t="n">
        <v>81840</v>
      </c>
      <c r="H14" s="13" t="n">
        <v>10230</v>
      </c>
      <c r="I14" s="13" t="n">
        <v>6138</v>
      </c>
      <c r="J14" s="13" t="n">
        <v>0</v>
      </c>
      <c r="K14" s="13" t="n">
        <v>4092</v>
      </c>
      <c r="L14" s="13" t="n">
        <v>102300</v>
      </c>
    </row>
    <row r="15"/>
    <row r="16">
      <c r="A16" s="3" t="inlineStr">
        <is>
          <t>Annual Summary</t>
        </is>
      </c>
    </row>
    <row r="17">
      <c r="A17" s="10" t="inlineStr">
        <is>
          <t>Year</t>
        </is>
      </c>
      <c r="B17" s="10" t="inlineStr">
        <is>
          <t>Total Bookings</t>
        </is>
      </c>
      <c r="C17" s="10" t="inlineStr">
        <is>
          <t>Avg Booking (RM)</t>
        </is>
      </c>
      <c r="D17" s="10" t="inlineStr">
        <is>
          <t>GMV (RM)</t>
        </is>
      </c>
      <c r="E17" s="10" t="inlineStr">
        <is>
          <t>Commission Rev (RM)</t>
        </is>
      </c>
      <c r="F17" s="10" t="inlineStr">
        <is>
          <t>Studio Rev (RM)</t>
        </is>
      </c>
      <c r="G17" s="10" t="inlineStr">
        <is>
          <t>Premium Rev (RM)</t>
        </is>
      </c>
      <c r="H17" s="10" t="inlineStr">
        <is>
          <t>Loyalty Rev (RM)</t>
        </is>
      </c>
      <c r="I17" s="10" t="inlineStr">
        <is>
          <t>B2B Rev (RM)</t>
        </is>
      </c>
      <c r="J17" s="10" t="inlineStr">
        <is>
          <t>Total Revenue (RM)</t>
        </is>
      </c>
    </row>
    <row r="18">
      <c r="A18" s="11" t="inlineStr">
        <is>
          <t>FY2026</t>
        </is>
      </c>
      <c r="B18" s="13" t="n">
        <v>7779</v>
      </c>
      <c r="C18" s="13" t="n">
        <v>280</v>
      </c>
      <c r="D18" s="13" t="n">
        <v>2178120</v>
      </c>
      <c r="E18" s="13" t="n">
        <v>435624</v>
      </c>
      <c r="F18" s="13" t="n">
        <v>217806</v>
      </c>
      <c r="G18" s="13" t="n">
        <v>65344</v>
      </c>
      <c r="H18" s="13" t="n">
        <v>0</v>
      </c>
      <c r="I18" s="13" t="n">
        <v>43562</v>
      </c>
      <c r="J18" s="13" t="n">
        <v>762336</v>
      </c>
    </row>
    <row r="19">
      <c r="A19" s="11" t="inlineStr">
        <is>
          <t>FY2027</t>
        </is>
      </c>
      <c r="B19" s="13" t="n">
        <v>71500</v>
      </c>
      <c r="C19" s="13" t="n">
        <v>320</v>
      </c>
      <c r="D19" s="13" t="n">
        <v>22880000</v>
      </c>
      <c r="E19" s="13" t="n">
        <v>4576000</v>
      </c>
      <c r="F19" s="13" t="n">
        <v>2745600</v>
      </c>
      <c r="G19" s="13" t="n">
        <v>179200</v>
      </c>
      <c r="H19" s="13" t="n">
        <v>336000</v>
      </c>
      <c r="I19" s="13" t="n">
        <v>224000</v>
      </c>
      <c r="J19" s="13" t="n">
        <v>4323200</v>
      </c>
    </row>
    <row r="20">
      <c r="A20" s="11" t="inlineStr">
        <is>
          <t>FY2028</t>
        </is>
      </c>
      <c r="B20" s="13" t="n">
        <v>260000</v>
      </c>
      <c r="C20" s="13" t="n">
        <v>350</v>
      </c>
      <c r="D20" s="13" t="n">
        <v>86850000</v>
      </c>
      <c r="E20" s="13" t="n">
        <v>17370000</v>
      </c>
      <c r="F20" s="13" t="n">
        <v>11290500</v>
      </c>
      <c r="G20" s="13" t="n">
        <v>882000</v>
      </c>
      <c r="H20" s="13" t="n">
        <v>2572500</v>
      </c>
      <c r="I20" s="13" t="n">
        <v>1102500</v>
      </c>
      <c r="J20" s="13" t="n">
        <v>16684000</v>
      </c>
    </row>
  </sheetData>
  <mergeCells count="2">
    <mergeCell ref="A16:L16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17" customWidth="1" min="3" max="3"/>
    <col width="15" customWidth="1" min="4" max="4"/>
    <col width="17" customWidth="1" min="5" max="5"/>
    <col width="15" customWidth="1" min="6" max="6"/>
    <col width="17" customWidth="1" min="7" max="7"/>
    <col width="15" customWidth="1" min="8" max="8"/>
  </cols>
  <sheetData>
    <row r="1">
      <c r="A1" s="9" t="inlineStr">
        <is>
          <t>Cost Structure — Fixed &amp; Variable Costs</t>
        </is>
      </c>
    </row>
    <row r="2">
      <c r="A2" s="10" t="inlineStr">
        <is>
          <t>Category</t>
        </is>
      </c>
      <c r="B2" s="10" t="inlineStr">
        <is>
          <t>Item</t>
        </is>
      </c>
      <c r="C2" s="10" t="inlineStr">
        <is>
          <t>Y1 Monthly (RM)</t>
        </is>
      </c>
      <c r="D2" s="10" t="inlineStr">
        <is>
          <t>Y1 Total (RM)</t>
        </is>
      </c>
      <c r="E2" s="10" t="inlineStr">
        <is>
          <t>Y2 Monthly (RM)</t>
        </is>
      </c>
      <c r="F2" s="10" t="inlineStr">
        <is>
          <t>Y2 Total (RM)</t>
        </is>
      </c>
      <c r="G2" s="10" t="inlineStr">
        <is>
          <t>Y3 Monthly (RM)</t>
        </is>
      </c>
      <c r="H2" s="10" t="inlineStr">
        <is>
          <t>Y3 Total (RM)</t>
        </is>
      </c>
    </row>
    <row r="3">
      <c r="A3" s="14" t="inlineStr">
        <is>
          <t>FIXED COSTS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</row>
    <row r="4">
      <c r="A4" s="11" t="inlineStr">
        <is>
          <t>Salaries</t>
        </is>
      </c>
      <c r="B4" s="15" t="inlineStr">
        <is>
          <t>CTO/Co-founder</t>
        </is>
      </c>
      <c r="C4" s="13" t="n">
        <v>15000</v>
      </c>
      <c r="D4" s="13" t="n">
        <v>180000</v>
      </c>
      <c r="E4" s="13" t="n">
        <v>18000</v>
      </c>
      <c r="F4" s="13" t="n">
        <v>216000</v>
      </c>
      <c r="G4" s="13" t="n">
        <v>22000</v>
      </c>
      <c r="H4" s="13" t="n">
        <v>264000</v>
      </c>
    </row>
    <row r="5">
      <c r="A5" s="11" t="inlineStr">
        <is>
          <t>Salaries</t>
        </is>
      </c>
      <c r="B5" s="15" t="inlineStr">
        <is>
          <t>Engineers (2)</t>
        </is>
      </c>
      <c r="C5" s="13" t="n">
        <v>20000</v>
      </c>
      <c r="D5" s="13" t="n">
        <v>240000</v>
      </c>
      <c r="E5" s="13" t="n">
        <v>25000</v>
      </c>
      <c r="F5" s="13" t="n">
        <v>300000</v>
      </c>
      <c r="G5" s="13" t="n">
        <v>35000</v>
      </c>
      <c r="H5" s="13" t="n">
        <v>420000</v>
      </c>
    </row>
    <row r="6">
      <c r="A6" s="11" t="inlineStr">
        <is>
          <t>Salaries</t>
        </is>
      </c>
      <c r="B6" s="15" t="inlineStr">
        <is>
          <t>Growth Lead</t>
        </is>
      </c>
      <c r="C6" s="13" t="n">
        <v>8000</v>
      </c>
      <c r="D6" s="13" t="n">
        <v>96000</v>
      </c>
      <c r="E6" s="13" t="n">
        <v>10000</v>
      </c>
      <c r="F6" s="13" t="n">
        <v>120000</v>
      </c>
      <c r="G6" s="13" t="n">
        <v>12000</v>
      </c>
      <c r="H6" s="13" t="n">
        <v>144000</v>
      </c>
    </row>
    <row r="7">
      <c r="A7" s="11" t="inlineStr">
        <is>
          <t>Salaries</t>
        </is>
      </c>
      <c r="B7" s="15" t="inlineStr">
        <is>
          <t>Operations</t>
        </is>
      </c>
      <c r="C7" s="13" t="n">
        <v>6000</v>
      </c>
      <c r="D7" s="13" t="n">
        <v>72000</v>
      </c>
      <c r="E7" s="13" t="n">
        <v>8000</v>
      </c>
      <c r="F7" s="13" t="n">
        <v>96000</v>
      </c>
      <c r="G7" s="13" t="n">
        <v>10000</v>
      </c>
      <c r="H7" s="13" t="n">
        <v>120000</v>
      </c>
    </row>
    <row r="8">
      <c r="A8" s="11" t="inlineStr">
        <is>
          <t>Office</t>
        </is>
      </c>
      <c r="B8" s="15" t="inlineStr">
        <is>
          <t>Co-working space</t>
        </is>
      </c>
      <c r="C8" s="13" t="n">
        <v>3000</v>
      </c>
      <c r="D8" s="13" t="n">
        <v>36000</v>
      </c>
      <c r="E8" s="13" t="n">
        <v>5000</v>
      </c>
      <c r="F8" s="13" t="n">
        <v>60000</v>
      </c>
      <c r="G8" s="13" t="n">
        <v>8000</v>
      </c>
      <c r="H8" s="13" t="n">
        <v>96000</v>
      </c>
    </row>
    <row r="9">
      <c r="A9" s="11" t="inlineStr">
        <is>
          <t>Legal</t>
        </is>
      </c>
      <c r="B9" s="15" t="inlineStr">
        <is>
          <t>Compliance &amp; Legal</t>
        </is>
      </c>
      <c r="C9" s="13" t="n">
        <v>2000</v>
      </c>
      <c r="D9" s="13" t="n">
        <v>24000</v>
      </c>
      <c r="E9" s="13" t="n">
        <v>3000</v>
      </c>
      <c r="F9" s="13" t="n">
        <v>36000</v>
      </c>
      <c r="G9" s="13" t="n">
        <v>4000</v>
      </c>
      <c r="H9" s="13" t="n">
        <v>48000</v>
      </c>
    </row>
    <row r="10">
      <c r="A10" s="11" t="inlineStr">
        <is>
          <t>Insurance</t>
        </is>
      </c>
      <c r="B10" s="15" t="inlineStr">
        <is>
          <t>Business insurance</t>
        </is>
      </c>
      <c r="C10" s="13" t="n">
        <v>1000</v>
      </c>
      <c r="D10" s="13" t="n">
        <v>12000</v>
      </c>
      <c r="E10" s="13" t="n">
        <v>1500</v>
      </c>
      <c r="F10" s="13" t="n">
        <v>18000</v>
      </c>
      <c r="G10" s="13" t="n">
        <v>2000</v>
      </c>
      <c r="H10" s="13" t="n">
        <v>24000</v>
      </c>
    </row>
    <row r="11">
      <c r="A11" s="11" t="inlineStr"/>
      <c r="B11" s="15" t="inlineStr">
        <is>
          <t>Fixed Subtotal</t>
        </is>
      </c>
      <c r="C11" s="13" t="n">
        <v>55000</v>
      </c>
      <c r="D11" s="13" t="n">
        <v>660000</v>
      </c>
      <c r="E11" s="13" t="n">
        <v>70500</v>
      </c>
      <c r="F11" s="13" t="n">
        <v>846000</v>
      </c>
      <c r="G11" s="13" t="n">
        <v>93000</v>
      </c>
      <c r="H11" s="13" t="n">
        <v>1116000</v>
      </c>
    </row>
    <row r="12">
      <c r="A12" s="1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14" t="inlineStr">
        <is>
          <t>VARIABLE COSTS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11" t="inlineStr">
        <is>
          <t>Marketing</t>
        </is>
      </c>
      <c r="B14" s="15" t="inlineStr">
        <is>
          <t>SEO/Content</t>
        </is>
      </c>
      <c r="C14" s="13" t="n">
        <v>8000</v>
      </c>
      <c r="D14" s="13" t="n">
        <v>96000</v>
      </c>
      <c r="E14" s="13" t="n">
        <v>15000</v>
      </c>
      <c r="F14" s="13" t="n">
        <v>180000</v>
      </c>
      <c r="G14" s="13" t="n">
        <v>25000</v>
      </c>
      <c r="H14" s="13" t="n">
        <v>300000</v>
      </c>
    </row>
    <row r="15">
      <c r="A15" s="11" t="inlineStr">
        <is>
          <t>Marketing</t>
        </is>
      </c>
      <c r="B15" s="15" t="inlineStr">
        <is>
          <t>Paid Ads</t>
        </is>
      </c>
      <c r="C15" s="13" t="n">
        <v>10000</v>
      </c>
      <c r="D15" s="13" t="n">
        <v>120000</v>
      </c>
      <c r="E15" s="13" t="n">
        <v>20000</v>
      </c>
      <c r="F15" s="13" t="n">
        <v>240000</v>
      </c>
      <c r="G15" s="13" t="n">
        <v>35000</v>
      </c>
      <c r="H15" s="13" t="n">
        <v>420000</v>
      </c>
    </row>
    <row r="16">
      <c r="A16" s="11" t="inlineStr">
        <is>
          <t>Marketing</t>
        </is>
      </c>
      <c r="B16" s="15" t="inlineStr">
        <is>
          <t>Partnerships</t>
        </is>
      </c>
      <c r="C16" s="13" t="n">
        <v>5000</v>
      </c>
      <c r="D16" s="13" t="n">
        <v>60000</v>
      </c>
      <c r="E16" s="13" t="n">
        <v>10000</v>
      </c>
      <c r="F16" s="13" t="n">
        <v>120000</v>
      </c>
      <c r="G16" s="13" t="n">
        <v>15000</v>
      </c>
      <c r="H16" s="13" t="n">
        <v>180000</v>
      </c>
    </row>
    <row r="17">
      <c r="A17" s="11" t="inlineStr">
        <is>
          <t>Marketing</t>
        </is>
      </c>
      <c r="B17" s="15" t="inlineStr">
        <is>
          <t>Events &amp; PR</t>
        </is>
      </c>
      <c r="C17" s="13" t="n">
        <v>3000</v>
      </c>
      <c r="D17" s="13" t="n">
        <v>36000</v>
      </c>
      <c r="E17" s="13" t="n">
        <v>5000</v>
      </c>
      <c r="F17" s="13" t="n">
        <v>60000</v>
      </c>
      <c r="G17" s="13" t="n">
        <v>8000</v>
      </c>
      <c r="H17" s="13" t="n">
        <v>96000</v>
      </c>
    </row>
    <row r="18">
      <c r="A18" s="11" t="inlineStr">
        <is>
          <t>Platform</t>
        </is>
      </c>
      <c r="B18" s="15" t="inlineStr">
        <is>
          <t>Cloud hosting</t>
        </is>
      </c>
      <c r="C18" s="13" t="n">
        <v>4000</v>
      </c>
      <c r="D18" s="13" t="n">
        <v>48000</v>
      </c>
      <c r="E18" s="13" t="n">
        <v>8000</v>
      </c>
      <c r="F18" s="13" t="n">
        <v>96000</v>
      </c>
      <c r="G18" s="13" t="n">
        <v>15000</v>
      </c>
      <c r="H18" s="13" t="n">
        <v>180000</v>
      </c>
    </row>
    <row r="19">
      <c r="A19" s="11" t="inlineStr">
        <is>
          <t>Platform</t>
        </is>
      </c>
      <c r="B19" s="15" t="inlineStr">
        <is>
          <t>Payment processing</t>
        </is>
      </c>
      <c r="C19" s="13" t="n">
        <v>2000</v>
      </c>
      <c r="D19" s="13" t="n">
        <v>24000</v>
      </c>
      <c r="E19" s="13" t="n">
        <v>6000</v>
      </c>
      <c r="F19" s="13" t="n">
        <v>72000</v>
      </c>
      <c r="G19" s="13" t="n">
        <v>15000</v>
      </c>
      <c r="H19" s="13" t="n">
        <v>180000</v>
      </c>
    </row>
    <row r="20">
      <c r="A20" s="11" t="inlineStr">
        <is>
          <t>Platform</t>
        </is>
      </c>
      <c r="B20" s="15" t="inlineStr">
        <is>
          <t>Third-party APIs</t>
        </is>
      </c>
      <c r="C20" s="13" t="n">
        <v>1500</v>
      </c>
      <c r="D20" s="13" t="n">
        <v>18000</v>
      </c>
      <c r="E20" s="13" t="n">
        <v>3000</v>
      </c>
      <c r="F20" s="13" t="n">
        <v>36000</v>
      </c>
      <c r="G20" s="13" t="n">
        <v>5000</v>
      </c>
      <c r="H20" s="13" t="n">
        <v>60000</v>
      </c>
    </row>
    <row r="21">
      <c r="A21" s="11" t="inlineStr">
        <is>
          <t>Operations</t>
        </is>
      </c>
      <c r="B21" s="15" t="inlineStr">
        <is>
          <t>Customer support</t>
        </is>
      </c>
      <c r="C21" s="13" t="n">
        <v>3000</v>
      </c>
      <c r="D21" s="13" t="n">
        <v>36000</v>
      </c>
      <c r="E21" s="13" t="n">
        <v>8000</v>
      </c>
      <c r="F21" s="13" t="n">
        <v>96000</v>
      </c>
      <c r="G21" s="13" t="n">
        <v>15000</v>
      </c>
      <c r="H21" s="13" t="n">
        <v>180000</v>
      </c>
    </row>
    <row r="22">
      <c r="A22" s="11" t="inlineStr">
        <is>
          <t>Operations</t>
        </is>
      </c>
      <c r="B22" s="15" t="inlineStr">
        <is>
          <t>Professional verification</t>
        </is>
      </c>
      <c r="C22" s="13" t="n">
        <v>2000</v>
      </c>
      <c r="D22" s="13" t="n">
        <v>24000</v>
      </c>
      <c r="E22" s="13" t="n">
        <v>4000</v>
      </c>
      <c r="F22" s="13" t="n">
        <v>48000</v>
      </c>
      <c r="G22" s="13" t="n">
        <v>6000</v>
      </c>
      <c r="H22" s="13" t="n">
        <v>72000</v>
      </c>
    </row>
    <row r="23">
      <c r="A23" s="11" t="inlineStr"/>
      <c r="B23" s="15" t="inlineStr">
        <is>
          <t>Variable Subtotal</t>
        </is>
      </c>
      <c r="C23" s="13" t="n">
        <v>38500</v>
      </c>
      <c r="D23" s="13" t="n">
        <v>462000</v>
      </c>
      <c r="E23" s="13" t="n">
        <v>75000</v>
      </c>
      <c r="F23" s="13" t="n">
        <v>900000</v>
      </c>
      <c r="G23" s="13" t="n">
        <v>124000</v>
      </c>
      <c r="H23" s="13" t="n">
        <v>1488000</v>
      </c>
    </row>
    <row r="24">
      <c r="A24" s="1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>
      <c r="A25" s="14" t="inlineStr">
        <is>
          <t>TOTAL</t>
        </is>
      </c>
      <c r="B25" s="4" t="inlineStr"/>
      <c r="C25" s="16" t="n">
        <v>93500</v>
      </c>
      <c r="D25" s="16" t="n">
        <v>1122000</v>
      </c>
      <c r="E25" s="16" t="n">
        <v>145500</v>
      </c>
      <c r="F25" s="16" t="n">
        <v>1746000</v>
      </c>
      <c r="G25" s="16" t="n">
        <v>217000</v>
      </c>
      <c r="H25" s="16" t="n">
        <v>2604000</v>
      </c>
    </row>
    <row r="26"/>
    <row r="27"/>
    <row r="28">
      <c r="A28" s="17" t="inlineStr">
        <is>
          <t>Category</t>
        </is>
      </c>
      <c r="B28" s="17" t="inlineStr">
        <is>
          <t>Year 1 Total (RM)</t>
        </is>
      </c>
    </row>
    <row r="29">
      <c r="A29" s="18" t="inlineStr">
        <is>
          <t>Fixed Costs</t>
        </is>
      </c>
      <c r="B29" s="8" t="n">
        <v>660000</v>
      </c>
    </row>
    <row r="30">
      <c r="A30" s="18" t="inlineStr">
        <is>
          <t>Variable Costs</t>
        </is>
      </c>
      <c r="B30" s="8" t="n">
        <v>462000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>
      <c r="A1" s="9" t="inlineStr">
        <is>
          <t>Profit &amp; Loss Projections</t>
        </is>
      </c>
    </row>
    <row r="2">
      <c r="A2" s="10" t="inlineStr">
        <is>
          <t>Metric (RM)</t>
        </is>
      </c>
      <c r="B2" s="10" t="inlineStr">
        <is>
          <t>Year 1</t>
        </is>
      </c>
      <c r="C2" s="10" t="inlineStr">
        <is>
          <t>Year 2</t>
        </is>
      </c>
      <c r="D2" s="10" t="inlineStr">
        <is>
          <t>Year 3</t>
        </is>
      </c>
      <c r="E2" s="10" t="inlineStr">
        <is>
          <t>Y1 Margin</t>
        </is>
      </c>
      <c r="F2" s="10" t="inlineStr">
        <is>
          <t>Y2 Margin</t>
        </is>
      </c>
      <c r="G2" s="10" t="inlineStr">
        <is>
          <t>Y3 Margin</t>
        </is>
      </c>
    </row>
    <row r="3">
      <c r="A3" s="4" t="inlineStr">
        <is>
          <t>Revenue</t>
        </is>
      </c>
      <c r="B3" s="16" t="n">
        <v>762336</v>
      </c>
      <c r="C3" s="16" t="n">
        <v>4323200</v>
      </c>
      <c r="D3" s="16" t="n">
        <v>16684000</v>
      </c>
      <c r="E3" s="4" t="n"/>
      <c r="F3" s="4" t="n"/>
      <c r="G3" s="4" t="n"/>
    </row>
    <row r="4">
      <c r="A4" s="15" t="inlineStr">
        <is>
          <t>Cost of Revenue (Payment 2.5%)</t>
        </is>
      </c>
      <c r="B4" s="19" t="n">
        <v>-54453</v>
      </c>
      <c r="C4" s="19" t="n">
        <v>-280000</v>
      </c>
      <c r="D4" s="19" t="n">
        <v>-875000</v>
      </c>
      <c r="E4" s="15" t="n"/>
      <c r="F4" s="15" t="n"/>
      <c r="G4" s="15" t="n"/>
    </row>
    <row r="5">
      <c r="A5" s="4" t="inlineStr">
        <is>
          <t>Gross Profit</t>
        </is>
      </c>
      <c r="B5" s="16" t="n">
        <v>707883</v>
      </c>
      <c r="C5" s="16" t="n">
        <v>4043200</v>
      </c>
      <c r="D5" s="16" t="n">
        <v>15809000</v>
      </c>
      <c r="E5" s="4" t="n"/>
      <c r="F5" s="4" t="n"/>
      <c r="G5" s="4" t="n"/>
    </row>
    <row r="6">
      <c r="A6" s="15" t="inlineStr">
        <is>
          <t>Gross Margin</t>
        </is>
      </c>
      <c r="B6" s="15" t="n"/>
      <c r="C6" s="15" t="n"/>
      <c r="D6" s="15" t="n"/>
      <c r="E6" s="13" t="n">
        <v>0.928</v>
      </c>
      <c r="F6" s="13" t="n">
        <v>0.9350000000000001</v>
      </c>
      <c r="G6" s="13" t="n">
        <v>0.947</v>
      </c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</row>
    <row r="8">
      <c r="A8" s="15" t="inlineStr">
        <is>
          <t>Fixed Costs</t>
        </is>
      </c>
      <c r="B8" s="19" t="n">
        <v>-660000</v>
      </c>
      <c r="C8" s="19" t="n">
        <v>-846000</v>
      </c>
      <c r="D8" s="19" t="n">
        <v>-1116000</v>
      </c>
      <c r="E8" s="15" t="n"/>
      <c r="F8" s="15" t="n"/>
      <c r="G8" s="15" t="n"/>
    </row>
    <row r="9">
      <c r="A9" s="15" t="inlineStr">
        <is>
          <t>Variable Costs</t>
        </is>
      </c>
      <c r="B9" s="19" t="n">
        <v>-462000</v>
      </c>
      <c r="C9" s="19" t="n">
        <v>-900000</v>
      </c>
      <c r="D9" s="19" t="n">
        <v>-1488000</v>
      </c>
      <c r="E9" s="15" t="n"/>
      <c r="F9" s="15" t="n"/>
      <c r="G9" s="15" t="n"/>
    </row>
    <row r="10">
      <c r="A10" s="15" t="inlineStr">
        <is>
          <t>Total Operating Costs</t>
        </is>
      </c>
      <c r="B10" s="19" t="n">
        <v>-1122000</v>
      </c>
      <c r="C10" s="19" t="n">
        <v>-1746000</v>
      </c>
      <c r="D10" s="19" t="n">
        <v>-2604000</v>
      </c>
      <c r="E10" s="15" t="n"/>
      <c r="F10" s="15" t="n"/>
      <c r="G10" s="15" t="n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</row>
    <row r="12">
      <c r="A12" s="4" t="inlineStr">
        <is>
          <t>EBITDA</t>
        </is>
      </c>
      <c r="B12" s="19" t="n">
        <v>-414117</v>
      </c>
      <c r="C12" s="16" t="n">
        <v>2297200</v>
      </c>
      <c r="D12" s="16" t="n">
        <v>13205000</v>
      </c>
      <c r="E12" s="4" t="n"/>
      <c r="F12" s="4" t="n"/>
      <c r="G12" s="4" t="n"/>
    </row>
    <row r="13">
      <c r="A13" s="15" t="inlineStr">
        <is>
          <t>EBITDA Margin</t>
        </is>
      </c>
      <c r="B13" s="15" t="n"/>
      <c r="C13" s="15" t="n"/>
      <c r="D13" s="15" t="n"/>
      <c r="E13" s="19" t="n">
        <v>-0.543</v>
      </c>
      <c r="F13" s="13" t="n">
        <v>0.531</v>
      </c>
      <c r="G13" s="13" t="n">
        <v>0.792</v>
      </c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</row>
    <row r="15">
      <c r="A15" s="15" t="inlineStr">
        <is>
          <t>Depreciation &amp; Amortization</t>
        </is>
      </c>
      <c r="B15" s="13" t="n">
        <v>0</v>
      </c>
      <c r="C15" s="13" t="n">
        <v>0</v>
      </c>
      <c r="D15" s="13" t="n">
        <v>0</v>
      </c>
      <c r="E15" s="15" t="n"/>
      <c r="F15" s="15" t="n"/>
      <c r="G15" s="15" t="n"/>
    </row>
    <row r="16">
      <c r="A16" s="15" t="inlineStr">
        <is>
          <t>Net Operating Income</t>
        </is>
      </c>
      <c r="B16" s="19" t="n">
        <v>-414117</v>
      </c>
      <c r="C16" s="13" t="n">
        <v>2297200</v>
      </c>
      <c r="D16" s="13" t="n">
        <v>13205000</v>
      </c>
      <c r="E16" s="15" t="n"/>
      <c r="F16" s="15" t="n"/>
      <c r="G16" s="15" t="n"/>
    </row>
    <row r="17">
      <c r="A17" s="15" t="inlineStr">
        <is>
          <t>Income Tax (17%)</t>
        </is>
      </c>
      <c r="B17" s="13" t="n">
        <v>0</v>
      </c>
      <c r="C17" s="13" t="n">
        <v>390524</v>
      </c>
      <c r="D17" s="13" t="n">
        <v>2244850</v>
      </c>
      <c r="E17" s="15" t="n"/>
      <c r="F17" s="15" t="n"/>
      <c r="G17" s="15" t="n"/>
    </row>
    <row r="18">
      <c r="A18" s="4" t="inlineStr">
        <is>
          <t>Net Income</t>
        </is>
      </c>
      <c r="B18" s="19" t="n">
        <v>-414117</v>
      </c>
      <c r="C18" s="16" t="n">
        <v>1906676</v>
      </c>
      <c r="D18" s="16" t="n">
        <v>10960150</v>
      </c>
      <c r="E18" s="4" t="n"/>
      <c r="F18" s="4" t="n"/>
      <c r="G18" s="4" t="n"/>
    </row>
    <row r="19">
      <c r="A19" s="15" t="inlineStr">
        <is>
          <t>Net Margin</t>
        </is>
      </c>
      <c r="B19" s="15" t="n"/>
      <c r="C19" s="15" t="n"/>
      <c r="D19" s="15" t="n"/>
      <c r="E19" s="19" t="n">
        <v>-0.543</v>
      </c>
      <c r="F19" s="13" t="n">
        <v>0.441</v>
      </c>
      <c r="G19" s="13" t="n">
        <v>0.657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9" t="inlineStr">
        <is>
          <t>Unit Economics</t>
        </is>
      </c>
    </row>
    <row r="2">
      <c r="A2" s="10" t="inlineStr">
        <is>
          <t>Metric</t>
        </is>
      </c>
      <c r="B2" s="10" t="inlineStr">
        <is>
          <t>Year 1</t>
        </is>
      </c>
      <c r="C2" s="10" t="inlineStr">
        <is>
          <t>Year 2</t>
        </is>
      </c>
      <c r="D2" s="10" t="inlineStr">
        <is>
          <t>Year 3</t>
        </is>
      </c>
      <c r="E2" s="10" t="inlineStr">
        <is>
          <t>Benchmark</t>
        </is>
      </c>
      <c r="F2" s="10" t="inlineStr">
        <is>
          <t>Status</t>
        </is>
      </c>
    </row>
    <row r="3">
      <c r="A3" s="11" t="inlineStr">
        <is>
          <t>CAC (RM)</t>
        </is>
      </c>
      <c r="B3" s="20" t="n">
        <v>180</v>
      </c>
      <c r="C3" s="20" t="n">
        <v>120</v>
      </c>
      <c r="D3" s="20" t="n">
        <v>90</v>
      </c>
      <c r="E3" s="20" t="inlineStr">
        <is>
          <t>&lt; RM 200</t>
        </is>
      </c>
      <c r="F3" s="21" t="inlineStr">
        <is>
          <t>✓</t>
        </is>
      </c>
    </row>
    <row r="4">
      <c r="A4" s="11" t="inlineStr">
        <is>
          <t>ARPU (RM)</t>
        </is>
      </c>
      <c r="B4" s="20" t="n">
        <v>508</v>
      </c>
      <c r="C4" s="20" t="n">
        <v>721</v>
      </c>
      <c r="D4" s="20" t="n">
        <v>927</v>
      </c>
      <c r="E4" s="20" t="inlineStr">
        <is>
          <t>&gt; RM 300</t>
        </is>
      </c>
      <c r="F4" s="21" t="inlineStr">
        <is>
          <t>✓</t>
        </is>
      </c>
    </row>
    <row r="5">
      <c r="A5" s="11" t="inlineStr">
        <is>
          <t>LTV (RM)</t>
        </is>
      </c>
      <c r="B5" s="20" t="n">
        <v>1524</v>
      </c>
      <c r="C5" s="20" t="n">
        <v>2163</v>
      </c>
      <c r="D5" s="20" t="n">
        <v>2781</v>
      </c>
      <c r="E5" s="20" t="inlineStr">
        <is>
          <t>&gt; RM 500</t>
        </is>
      </c>
      <c r="F5" s="21" t="inlineStr">
        <is>
          <t>✓</t>
        </is>
      </c>
    </row>
    <row r="6">
      <c r="A6" s="11" t="inlineStr">
        <is>
          <t>LTV:CAC</t>
        </is>
      </c>
      <c r="B6" s="20" t="inlineStr">
        <is>
          <t>8.5x</t>
        </is>
      </c>
      <c r="C6" s="20" t="inlineStr">
        <is>
          <t>18.0x</t>
        </is>
      </c>
      <c r="D6" s="20" t="inlineStr">
        <is>
          <t>30.9x</t>
        </is>
      </c>
      <c r="E6" s="20" t="inlineStr">
        <is>
          <t>&gt; 3x</t>
        </is>
      </c>
      <c r="F6" s="21" t="inlineStr">
        <is>
          <t>✓</t>
        </is>
      </c>
    </row>
    <row r="7">
      <c r="A7" s="11" t="inlineStr">
        <is>
          <t>Payback Period (months)</t>
        </is>
      </c>
      <c r="B7" s="20" t="n">
        <v>2.4</v>
      </c>
      <c r="C7" s="20" t="n">
        <v>1.3</v>
      </c>
      <c r="D7" s="20" t="n">
        <v>0.9</v>
      </c>
      <c r="E7" s="20" t="inlineStr">
        <is>
          <t>&lt; 12</t>
        </is>
      </c>
      <c r="F7" s="21" t="inlineStr">
        <is>
          <t>✓</t>
        </is>
      </c>
    </row>
    <row r="8">
      <c r="A8" s="11" t="inlineStr">
        <is>
          <t>Gross Margin per Booking (RM)</t>
        </is>
      </c>
      <c r="B8" s="20" t="n">
        <v>112</v>
      </c>
      <c r="C8" s="20" t="n">
        <v>144</v>
      </c>
      <c r="D8" s="20" t="n">
        <v>170</v>
      </c>
      <c r="E8" s="20" t="inlineStr">
        <is>
          <t>&gt; RM 80</t>
        </is>
      </c>
      <c r="F8" s="21" t="inlineStr">
        <is>
          <t>✓</t>
        </is>
      </c>
    </row>
    <row r="9">
      <c r="A9" s="11" t="inlineStr">
        <is>
          <t>Bookings to Cover CAC</t>
        </is>
      </c>
      <c r="B9" s="20" t="n">
        <v>2.1</v>
      </c>
      <c r="C9" s="20" t="n">
        <v>8.6</v>
      </c>
      <c r="D9" s="20" t="n">
        <v>2</v>
      </c>
      <c r="E9" s="20" t="inlineStr">
        <is>
          <t>&lt; 5</t>
        </is>
      </c>
      <c r="F9" s="21" t="inlineStr">
        <is>
          <t>✓</t>
        </is>
      </c>
    </row>
    <row r="10">
      <c r="A10" s="11" t="inlineStr"/>
      <c r="B10" s="20" t="inlineStr"/>
      <c r="C10" s="20" t="inlineStr"/>
      <c r="D10" s="20" t="inlineStr"/>
      <c r="E10" s="20" t="inlineStr"/>
      <c r="F10" s="20" t="inlineStr"/>
    </row>
    <row r="11">
      <c r="A11" s="11" t="inlineStr">
        <is>
          <t>Gross Margin %</t>
        </is>
      </c>
      <c r="B11" s="20" t="inlineStr">
        <is>
          <t>93%</t>
        </is>
      </c>
      <c r="C11" s="20" t="inlineStr">
        <is>
          <t>94%</t>
        </is>
      </c>
      <c r="D11" s="20" t="inlineStr">
        <is>
          <t>95%</t>
        </is>
      </c>
      <c r="E11" s="20" t="inlineStr">
        <is>
          <t>&gt; 70%</t>
        </is>
      </c>
      <c r="F11" s="21" t="inlineStr">
        <is>
          <t>✓</t>
        </is>
      </c>
    </row>
    <row r="12">
      <c r="A12" s="11" t="inlineStr">
        <is>
          <t>Revenue per Employee (RM)</t>
        </is>
      </c>
      <c r="B12" s="20" t="n">
        <v>152000</v>
      </c>
      <c r="C12" s="20" t="n">
        <v>865000</v>
      </c>
      <c r="D12" s="20" t="n">
        <v>1390000</v>
      </c>
      <c r="E12" s="20" t="inlineStr">
        <is>
          <t>&gt; 200000</t>
        </is>
      </c>
      <c r="F12" s="21" t="inlineStr">
        <is>
          <t>✓</t>
        </is>
      </c>
    </row>
    <row r="13">
      <c r="A13" s="11" t="inlineStr">
        <is>
          <t>Magic Number</t>
        </is>
      </c>
      <c r="B13" s="20" t="n">
        <v>0.67</v>
      </c>
      <c r="C13" s="20" t="n">
        <v>2.49</v>
      </c>
      <c r="D13" s="20" t="n">
        <v>6.4</v>
      </c>
      <c r="E13" s="20" t="inlineStr">
        <is>
          <t>&gt; 0.75</t>
        </is>
      </c>
      <c r="F13" s="21" t="inlineStr">
        <is>
          <t>✓</t>
        </is>
      </c>
    </row>
    <row r="14">
      <c r="A14" s="11" t="inlineStr">
        <is>
          <t>Net Revenue Retention</t>
        </is>
      </c>
      <c r="B14" s="20" t="inlineStr">
        <is>
          <t>110%</t>
        </is>
      </c>
      <c r="C14" s="20" t="inlineStr">
        <is>
          <t>125%</t>
        </is>
      </c>
      <c r="D14" s="20" t="inlineStr">
        <is>
          <t>140%</t>
        </is>
      </c>
      <c r="E14" s="20" t="inlineStr">
        <is>
          <t>&gt; 100%</t>
        </is>
      </c>
      <c r="F14" s="21" t="inlineStr">
        <is>
          <t>✓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12" customWidth="1" min="4" max="4"/>
    <col width="17" customWidth="1" min="5" max="5"/>
    <col width="14" customWidth="1" min="6" max="6"/>
    <col width="15" customWidth="1" min="7" max="7"/>
    <col width="17" customWidth="1" min="8" max="8"/>
    <col width="14" customWidth="1" min="9" max="9"/>
    <col width="15" customWidth="1" min="10" max="10"/>
  </cols>
  <sheetData>
    <row r="1">
      <c r="A1" s="9" t="inlineStr">
        <is>
          <t>Scenario Analysis — Conservative / Base / Optimistic</t>
        </is>
      </c>
    </row>
    <row r="2">
      <c r="A2" s="10" t="inlineStr">
        <is>
          <t>Metric</t>
        </is>
      </c>
      <c r="B2" s="10" t="inlineStr">
        <is>
          <t>Conservative</t>
        </is>
      </c>
      <c r="C2" s="10" t="inlineStr">
        <is>
          <t>Base Case</t>
        </is>
      </c>
      <c r="D2" s="10" t="inlineStr">
        <is>
          <t>Optimistic</t>
        </is>
      </c>
      <c r="E2" s="10" t="inlineStr">
        <is>
          <t>Conservative Y2</t>
        </is>
      </c>
      <c r="F2" s="10" t="inlineStr">
        <is>
          <t>Base Case Y2</t>
        </is>
      </c>
      <c r="G2" s="10" t="inlineStr">
        <is>
          <t>Optimistic Y2</t>
        </is>
      </c>
      <c r="H2" s="10" t="inlineStr">
        <is>
          <t>Conservative Y3</t>
        </is>
      </c>
      <c r="I2" s="10" t="inlineStr">
        <is>
          <t>Base Case Y3</t>
        </is>
      </c>
      <c r="J2" s="10" t="inlineStr">
        <is>
          <t>Optimistic Y3</t>
        </is>
      </c>
    </row>
    <row r="3">
      <c r="A3" s="14" t="inlineStr">
        <is>
          <t>Users (Year End)</t>
        </is>
      </c>
      <c r="B3" s="13" t="n">
        <v>800</v>
      </c>
      <c r="C3" s="13" t="n">
        <v>1500</v>
      </c>
      <c r="D3" s="13" t="n">
        <v>2500</v>
      </c>
      <c r="E3" s="13" t="n">
        <v>3000</v>
      </c>
      <c r="F3" s="13" t="n">
        <v>6000</v>
      </c>
      <c r="G3" s="13" t="n">
        <v>8000</v>
      </c>
      <c r="H3" s="13" t="n">
        <v>8000</v>
      </c>
      <c r="I3" s="13" t="n">
        <v>15000</v>
      </c>
      <c r="J3" s="13" t="n">
        <v>25000</v>
      </c>
    </row>
    <row r="4">
      <c r="A4" s="14" t="inlineStr">
        <is>
          <t>Bookings</t>
        </is>
      </c>
      <c r="B4" s="13" t="n">
        <v>2400</v>
      </c>
      <c r="C4" s="13" t="n">
        <v>7779</v>
      </c>
      <c r="D4" s="13" t="n">
        <v>15000</v>
      </c>
      <c r="E4" s="13" t="n">
        <v>12000</v>
      </c>
      <c r="F4" s="13" t="n">
        <v>20000</v>
      </c>
      <c r="G4" s="13" t="n">
        <v>35000</v>
      </c>
      <c r="H4" s="13" t="n">
        <v>40000</v>
      </c>
      <c r="I4" s="13" t="n">
        <v>75000</v>
      </c>
      <c r="J4" s="13" t="n">
        <v>140000</v>
      </c>
    </row>
    <row r="5">
      <c r="A5" s="14" t="inlineStr">
        <is>
          <t>GMV (RM)</t>
        </is>
      </c>
      <c r="B5" s="13" t="n">
        <v>405000</v>
      </c>
      <c r="C5" s="13" t="n">
        <v>2178120</v>
      </c>
      <c r="D5" s="13" t="n">
        <v>3750000</v>
      </c>
      <c r="E5" s="13" t="n">
        <v>3240000</v>
      </c>
      <c r="F5" s="13" t="n">
        <v>11200000</v>
      </c>
      <c r="G5" s="13" t="n">
        <v>18000000</v>
      </c>
      <c r="H5" s="13" t="n">
        <v>10800000</v>
      </c>
      <c r="I5" s="13" t="n">
        <v>22500000</v>
      </c>
      <c r="J5" s="13" t="n">
        <v>43400000</v>
      </c>
    </row>
    <row r="6">
      <c r="A6" s="14" t="inlineStr">
        <is>
          <t>Revenue (RM)</t>
        </is>
      </c>
      <c r="B6" s="13" t="n">
        <v>405000</v>
      </c>
      <c r="C6" s="13" t="n">
        <v>762336</v>
      </c>
      <c r="D6" s="13" t="n">
        <v>1500000</v>
      </c>
      <c r="E6" s="13" t="n">
        <v>648000</v>
      </c>
      <c r="F6" s="13" t="n">
        <v>4323200</v>
      </c>
      <c r="G6" s="13" t="n">
        <v>7200000</v>
      </c>
      <c r="H6" s="13" t="n">
        <v>2160000</v>
      </c>
      <c r="I6" s="13" t="n">
        <v>16684000</v>
      </c>
      <c r="J6" s="13" t="n">
        <v>35000000</v>
      </c>
    </row>
    <row r="7">
      <c r="A7" s="14" t="inlineStr">
        <is>
          <t>Avg Booking Value (RM)</t>
        </is>
      </c>
      <c r="B7" s="13" t="n">
        <v>225</v>
      </c>
      <c r="C7" s="13" t="n">
        <v>280</v>
      </c>
      <c r="D7" s="13" t="n">
        <v>300</v>
      </c>
      <c r="E7" s="13" t="n">
        <v>270</v>
      </c>
      <c r="F7" s="13" t="n">
        <v>320</v>
      </c>
      <c r="G7" s="13" t="n">
        <v>340</v>
      </c>
      <c r="H7" s="13" t="n">
        <v>270</v>
      </c>
      <c r="I7" s="13" t="n">
        <v>350</v>
      </c>
      <c r="J7" s="13" t="n">
        <v>360</v>
      </c>
    </row>
    <row r="8">
      <c r="A8" s="14" t="inlineStr">
        <is>
          <t>CAC (RM)</t>
        </is>
      </c>
      <c r="B8" s="13" t="n">
        <v>180</v>
      </c>
      <c r="C8" s="13" t="n">
        <v>150</v>
      </c>
      <c r="D8" s="13" t="n">
        <v>120</v>
      </c>
      <c r="E8" s="13" t="n">
        <v>140</v>
      </c>
      <c r="F8" s="13" t="n">
        <v>120</v>
      </c>
      <c r="G8" s="13" t="n">
        <v>90</v>
      </c>
      <c r="H8" s="13" t="n">
        <v>120</v>
      </c>
      <c r="I8" s="13" t="n">
        <v>100</v>
      </c>
      <c r="J8" s="13" t="n">
        <v>70</v>
      </c>
    </row>
    <row r="9">
      <c r="A9" s="14" t="inlineStr">
        <is>
          <t>LTV (RM)</t>
        </is>
      </c>
      <c r="B9" s="13" t="n">
        <v>500</v>
      </c>
      <c r="C9" s="13" t="n">
        <v>1524</v>
      </c>
      <c r="D9" s="13" t="n">
        <v>2500</v>
      </c>
      <c r="E9" s="13" t="n">
        <v>900</v>
      </c>
      <c r="F9" s="13" t="n">
        <v>2163</v>
      </c>
      <c r="G9" s="13" t="n">
        <v>3400</v>
      </c>
      <c r="H9" s="13" t="n">
        <v>1200</v>
      </c>
      <c r="I9" s="13" t="n">
        <v>2781</v>
      </c>
      <c r="J9" s="13" t="n">
        <v>4200</v>
      </c>
    </row>
    <row r="10">
      <c r="A10" s="14" t="inlineStr">
        <is>
          <t>LTV:CAC</t>
        </is>
      </c>
      <c r="B10" s="13" t="n">
        <v>2.8</v>
      </c>
      <c r="C10" s="13" t="n">
        <v>8.5</v>
      </c>
      <c r="D10" s="13" t="n">
        <v>16.7</v>
      </c>
      <c r="E10" s="13" t="n">
        <v>6.4</v>
      </c>
      <c r="F10" s="13" t="n">
        <v>18</v>
      </c>
      <c r="G10" s="13" t="n">
        <v>37.8</v>
      </c>
      <c r="H10" s="13" t="n">
        <v>10</v>
      </c>
      <c r="I10" s="13" t="n">
        <v>30.9</v>
      </c>
      <c r="J10" s="13" t="n">
        <v>60</v>
      </c>
    </row>
    <row r="11">
      <c r="A11" s="14" t="inlineStr">
        <is>
          <t>Total Costs (RM)</t>
        </is>
      </c>
      <c r="B11" s="13" t="n">
        <v>450000</v>
      </c>
      <c r="C11" s="13" t="n">
        <v>1122000</v>
      </c>
      <c r="D11" s="13" t="n">
        <v>1500000</v>
      </c>
      <c r="E11" s="13" t="n">
        <v>900000</v>
      </c>
      <c r="F11" s="13" t="n">
        <v>1746000</v>
      </c>
      <c r="G11" s="13" t="n">
        <v>2400000</v>
      </c>
      <c r="H11" s="13" t="n">
        <v>1600000</v>
      </c>
      <c r="I11" s="13" t="n">
        <v>2604000</v>
      </c>
      <c r="J11" s="13" t="n">
        <v>3200000</v>
      </c>
    </row>
    <row r="12">
      <c r="A12" s="14" t="inlineStr">
        <is>
          <t>EBITDA (RM)</t>
        </is>
      </c>
      <c r="B12" s="13" t="n">
        <v>-369000</v>
      </c>
      <c r="C12" s="13" t="n">
        <v>-414117</v>
      </c>
      <c r="D12" s="13" t="n">
        <v>-150000</v>
      </c>
      <c r="E12" s="13" t="n">
        <v>-252000</v>
      </c>
      <c r="F12" s="13" t="n">
        <v>2297200</v>
      </c>
      <c r="G12" s="13" t="n">
        <v>4800000</v>
      </c>
      <c r="H12" s="13" t="n">
        <v>560000</v>
      </c>
      <c r="I12" s="13" t="n">
        <v>13205000</v>
      </c>
      <c r="J12" s="13" t="n">
        <v>33000000</v>
      </c>
    </row>
    <row r="13">
      <c r="A13" s="14" t="inlineStr">
        <is>
          <t>EBITDA Margin</t>
        </is>
      </c>
      <c r="B13" s="22" t="n">
        <v>-0.91</v>
      </c>
      <c r="C13" s="22" t="n">
        <v>-0.54</v>
      </c>
      <c r="D13" s="22" t="n">
        <v>-0.04</v>
      </c>
      <c r="E13" s="22" t="n">
        <v>-0.28</v>
      </c>
      <c r="F13" s="22" t="n">
        <v>0.53</v>
      </c>
      <c r="G13" s="22" t="n">
        <v>0.67</v>
      </c>
      <c r="H13" s="22" t="n">
        <v>0.05</v>
      </c>
      <c r="I13" s="22" t="n">
        <v>0.79</v>
      </c>
      <c r="J13" s="22" t="n">
        <v>0.9399999999999999</v>
      </c>
    </row>
    <row r="14">
      <c r="A14" s="14" t="inlineStr">
        <is>
          <t>Breakeven Month</t>
        </is>
      </c>
      <c r="B14" s="13" t="n">
        <v>24</v>
      </c>
      <c r="C14" s="13" t="n">
        <v>18</v>
      </c>
      <c r="D14" s="13" t="n">
        <v>12</v>
      </c>
      <c r="E14" s="13" t="n">
        <v>16</v>
      </c>
      <c r="F14" s="13" t="n">
        <v>10</v>
      </c>
      <c r="G14" s="13" t="n">
        <v>7</v>
      </c>
      <c r="H14" s="13" t="n">
        <v>10</v>
      </c>
      <c r="I14" s="13" t="n">
        <v>8</v>
      </c>
      <c r="J14" s="13" t="n">
        <v>5</v>
      </c>
    </row>
    <row r="15">
      <c r="A15" s="14" t="inlineStr">
        <is>
          <t>Seed Round (RM)</t>
        </is>
      </c>
      <c r="B15" s="13" t="n">
        <v>1500000</v>
      </c>
      <c r="C15" s="13" t="n">
        <v>1200000</v>
      </c>
      <c r="D15" s="13" t="n">
        <v>1000000</v>
      </c>
      <c r="E15" s="20" t="inlineStr"/>
      <c r="F15" s="20" t="inlineStr"/>
      <c r="G15" s="20" t="inlineStr"/>
      <c r="H15" s="20" t="inlineStr"/>
      <c r="I15" s="20" t="inlineStr"/>
      <c r="J15" s="20" t="inlineStr"/>
    </row>
    <row r="16">
      <c r="A16" s="14" t="inlineStr">
        <is>
          <t>Runway (months)</t>
        </is>
      </c>
      <c r="B16" s="13" t="n">
        <v>12</v>
      </c>
      <c r="C16" s="13" t="n">
        <v>18</v>
      </c>
      <c r="D16" s="13" t="n">
        <v>24</v>
      </c>
      <c r="E16" s="20" t="inlineStr"/>
      <c r="F16" s="20" t="inlineStr"/>
      <c r="G16" s="20" t="inlineStr"/>
      <c r="H16" s="20" t="inlineStr"/>
      <c r="I16" s="20" t="inlineStr"/>
      <c r="J16" s="20" t="inlineStr"/>
    </row>
    <row r="17">
      <c r="A17" s="14" t="inlineStr">
        <is>
          <t>Series A Timing</t>
        </is>
      </c>
      <c r="B17" s="20" t="inlineStr">
        <is>
          <t>Month 22</t>
        </is>
      </c>
      <c r="C17" s="20" t="inlineStr">
        <is>
          <t>Month 18</t>
        </is>
      </c>
      <c r="D17" s="20" t="inlineStr">
        <is>
          <t>Month 14</t>
        </is>
      </c>
      <c r="E17" s="20" t="inlineStr"/>
      <c r="F17" s="20" t="inlineStr"/>
      <c r="G17" s="20" t="inlineStr"/>
      <c r="H17" s="20" t="inlineStr"/>
      <c r="I17" s="20" t="inlineStr"/>
      <c r="J17" s="20" t="inlineStr"/>
    </row>
    <row r="18">
      <c r="A18" s="14" t="inlineStr">
        <is>
          <t>3-Year ROI (on seed)</t>
        </is>
      </c>
      <c r="B18" s="13" t="n">
        <v>2.5</v>
      </c>
      <c r="C18" s="13" t="n">
        <v>14</v>
      </c>
      <c r="D18" s="13" t="n">
        <v>30</v>
      </c>
      <c r="E18" s="20" t="inlineStr"/>
      <c r="F18" s="20" t="inlineStr"/>
      <c r="G18" s="20" t="inlineStr"/>
      <c r="H18" s="20" t="inlineStr"/>
      <c r="I18" s="20" t="inlineStr"/>
      <c r="J18" s="2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2026-08-02T10:48:10+00:00Z</dcterms:created>
  <dcterms:modified xmlns:dcterms="http://purl.org/dc/terms/" xmlns:xsi="http://www.w3.org/2001/XMLSchema-instance" xsi:type="dcterms:W3CDTF">2026-08-02T10:48:10+00:00Z</dcterms:modified>
</cp:coreProperties>
</file>